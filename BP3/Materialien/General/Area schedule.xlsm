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zhaw.sharepoint.com/sites/BP3Group32/Freigegebene Dokumente/General/"/>
    </mc:Choice>
  </mc:AlternateContent>
  <xr:revisionPtr revIDLastSave="527" documentId="8_{C30BF61A-EA9D-471B-937E-3DE9FA4C9C13}" xr6:coauthVersionLast="47" xr6:coauthVersionMax="47" xr10:uidLastSave="{ABD7E854-7ADC-F541-AF94-E816C577C47E}"/>
  <bookViews>
    <workbookView xWindow="0" yWindow="500" windowWidth="28800" windowHeight="16680" xr2:uid="{00000000-000D-0000-FFFF-FFFF00000000}"/>
  </bookViews>
  <sheets>
    <sheet name="Tabelle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0" i="1" l="1"/>
  <c r="F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tc={F081D927-E72A-8447-B693-96A4EE801A55}</author>
  </authors>
  <commentList>
    <comment ref="I1" authorId="0" shapeId="0" xr:uid="{F081D927-E72A-8447-B693-96A4EE801A5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In the report from last year the unit ist „h^ -1“. I don’t know if that’s correct.</t>
      </text>
    </comment>
  </commentList>
</comments>
</file>

<file path=xl/sharedStrings.xml><?xml version="1.0" encoding="utf-8"?>
<sst xmlns="http://schemas.openxmlformats.org/spreadsheetml/2006/main" count="218" uniqueCount="81">
  <si>
    <t>Area</t>
  </si>
  <si>
    <t>Room</t>
  </si>
  <si>
    <t>Equipment</t>
  </si>
  <si>
    <t>BSL</t>
  </si>
  <si>
    <t>Hygienic zone</t>
  </si>
  <si>
    <t>Level</t>
  </si>
  <si>
    <t>Area [m2]</t>
  </si>
  <si>
    <t>Room height [m]</t>
  </si>
  <si>
    <t>Room volume [m3]</t>
  </si>
  <si>
    <t>Air exchange rate [m3/h] or [h^-1]</t>
  </si>
  <si>
    <t>Airflow [m^3/hour]</t>
  </si>
  <si>
    <t>Utilities/Facility Man</t>
  </si>
  <si>
    <t>HVAC</t>
  </si>
  <si>
    <t>Heater, Cooler, Humidifier, Multi Filters (HEPA), Compressor, Ventilators, Mixing Chambers</t>
  </si>
  <si>
    <t>-</t>
  </si>
  <si>
    <t>2nd floor</t>
  </si>
  <si>
    <t>Utilities</t>
  </si>
  <si>
    <t>ambient Heating &amp; Cooling</t>
  </si>
  <si>
    <t>General Hot Water System &amp; electrical coolers</t>
  </si>
  <si>
    <t>Waste treatment</t>
  </si>
  <si>
    <t xml:space="preserve">Autoclave, Storage space Warehouse, </t>
  </si>
  <si>
    <t>Basement</t>
  </si>
  <si>
    <t xml:space="preserve">Portable Water and Purified Water </t>
  </si>
  <si>
    <t>Tank FW, 2 x Tank PW,  Heat Exchanger, Reverse Osmosis, Nanofiltration, 2 Pumps</t>
  </si>
  <si>
    <t>WFI/Steam Production</t>
  </si>
  <si>
    <t>2 x WFI Tank,  Heat Exchanger, Multi Step Destillation Column (WFI), Distillation Column (Clean Steam), compressor</t>
  </si>
  <si>
    <t>Clean compressed Air</t>
  </si>
  <si>
    <t>Compressor,  Storage, Valves, Filters &amp; Deoiling</t>
  </si>
  <si>
    <t>Outside</t>
  </si>
  <si>
    <t>Process Gases</t>
  </si>
  <si>
    <t xml:space="preserve">Storage for N2, O2, CO2, H2O2,  Liquid Nitrogen + pneumatic valves for all, </t>
  </si>
  <si>
    <t>Emergency Generators</t>
  </si>
  <si>
    <t>Media</t>
  </si>
  <si>
    <t>Medium preparation</t>
  </si>
  <si>
    <t>1000L tank, 2000L tank</t>
  </si>
  <si>
    <t>D</t>
  </si>
  <si>
    <t>Ground floor</t>
  </si>
  <si>
    <t>Medium cold storage</t>
  </si>
  <si>
    <t>Buffer preparation</t>
  </si>
  <si>
    <t>50L, 100L, 500L, 1000L, 1500L, 2000L, 3000L tanks</t>
  </si>
  <si>
    <t>Buffer cold storage</t>
  </si>
  <si>
    <t>USP</t>
  </si>
  <si>
    <t>Personnel Airlock Inoculation Lab</t>
  </si>
  <si>
    <t>C</t>
  </si>
  <si>
    <t>Inoculum Production lab</t>
  </si>
  <si>
    <t>Freezer -80°C, laminar flow hood, microscope
incubator, NucleoCounter</t>
  </si>
  <si>
    <t>Cell expansion, Production</t>
  </si>
  <si>
    <t>20L Wave , 200L STR (SU),
2000 STR (SU) bioreactors, Autoclave</t>
  </si>
  <si>
    <t>Personnel Airlock Men USP</t>
  </si>
  <si>
    <t>Material Airlock USP</t>
  </si>
  <si>
    <t>Harvest</t>
  </si>
  <si>
    <t>Depth filter, Pump</t>
  </si>
  <si>
    <t>Corridor</t>
  </si>
  <si>
    <t>DSP</t>
  </si>
  <si>
    <t>Personnel Airlock Personal USP QC-DSP V+</t>
  </si>
  <si>
    <t>Personnel Airlock women DSP V+</t>
  </si>
  <si>
    <t>Personnel Airlock DSP virus-freezing D</t>
  </si>
  <si>
    <t>Personnel Airlock DSP virus-freezing CNC</t>
  </si>
  <si>
    <t>Material Airlock USP QC-DSP V+</t>
  </si>
  <si>
    <t>Material Airlock Buffer storage-DSP V+</t>
  </si>
  <si>
    <t>Material Airlock Buffer storage-DSP V+/-</t>
  </si>
  <si>
    <t>Material Airlock DSP V- - Freezing</t>
  </si>
  <si>
    <t>DSP room V+</t>
  </si>
  <si>
    <t xml:space="preserve">See DSP list </t>
  </si>
  <si>
    <t>DSP room V-</t>
  </si>
  <si>
    <t>See DSP list</t>
  </si>
  <si>
    <t>DSP freezing room</t>
  </si>
  <si>
    <t>CNC</t>
  </si>
  <si>
    <t>DSP storage room</t>
  </si>
  <si>
    <t>Warehouse</t>
  </si>
  <si>
    <t>Raw material lab</t>
  </si>
  <si>
    <t>Facility Management</t>
  </si>
  <si>
    <t>Reception</t>
  </si>
  <si>
    <t>Offices</t>
  </si>
  <si>
    <t>Cafeteria</t>
  </si>
  <si>
    <t>Toilets Men</t>
  </si>
  <si>
    <t>Toilets Women</t>
  </si>
  <si>
    <t>Stairs</t>
  </si>
  <si>
    <t>Elevator</t>
  </si>
  <si>
    <t>Data Storage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</si>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</sst>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rgb="FF000000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0" xfId="0" applyFill="1" applyAlignment="1">
      <alignment wrapText="1"/>
    </xf>
    <xf numFmtId="0" fontId="0" fillId="3" borderId="2" xfId="0" applyFill="1" applyBorder="1" applyAlignment="1">
      <alignment horizontal="left" wrapText="1"/>
    </xf>
    <xf numFmtId="0" fontId="0" fillId="3" borderId="1" xfId="0" applyFill="1" applyBorder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 applyAlignment="1">
      <alignment horizontal="left" wrapText="1"/>
    </xf>
    <xf numFmtId="0" fontId="0" fillId="3" borderId="4" xfId="0" applyFill="1" applyBorder="1" applyAlignment="1">
      <alignment wrapText="1"/>
    </xf>
    <xf numFmtId="0" fontId="1" fillId="0" borderId="0" xfId="0" applyFont="1" applyAlignment="1">
      <alignment wrapText="1"/>
    </xf>
    <xf numFmtId="0" fontId="1" fillId="8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0" fillId="3" borderId="2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0" xfId="0" applyAlignment="1">
      <alignment wrapText="1"/>
    </xf>
    <xf numFmtId="0" fontId="0" fillId="3" borderId="10" xfId="0" applyFill="1" applyBorder="1" applyAlignment="1">
      <alignment wrapText="1"/>
    </xf>
    <xf numFmtId="0" fontId="0" fillId="3" borderId="5" xfId="0" applyFill="1" applyBorder="1" applyAlignment="1">
      <alignment wrapText="1"/>
    </xf>
    <xf numFmtId="0" fontId="0" fillId="3" borderId="5" xfId="0" applyFill="1" applyBorder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2" xfId="0" applyFill="1" applyBorder="1" applyAlignment="1">
      <alignment wrapText="1"/>
    </xf>
    <xf numFmtId="0" fontId="0" fillId="4" borderId="9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4" borderId="4" xfId="0" applyFill="1" applyBorder="1" applyAlignment="1">
      <alignment wrapText="1"/>
    </xf>
    <xf numFmtId="0" fontId="0" fillId="4" borderId="0" xfId="0" applyFill="1" applyAlignment="1">
      <alignment wrapText="1"/>
    </xf>
    <xf numFmtId="0" fontId="0" fillId="4" borderId="10" xfId="0" applyFill="1" applyBorder="1" applyAlignment="1">
      <alignment wrapText="1"/>
    </xf>
    <xf numFmtId="0" fontId="0" fillId="4" borderId="5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9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2" borderId="4" xfId="0" applyFill="1" applyBorder="1" applyAlignment="1">
      <alignment wrapText="1"/>
    </xf>
    <xf numFmtId="0" fontId="0" fillId="2" borderId="0" xfId="0" applyFill="1" applyAlignment="1">
      <alignment vertical="center" wrapText="1"/>
    </xf>
    <xf numFmtId="0" fontId="0" fillId="2" borderId="10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5" borderId="1" xfId="0" applyFill="1" applyBorder="1" applyAlignment="1">
      <alignment wrapText="1"/>
    </xf>
    <xf numFmtId="0" fontId="0" fillId="5" borderId="2" xfId="0" applyFill="1" applyBorder="1" applyAlignment="1">
      <alignment wrapText="1"/>
    </xf>
    <xf numFmtId="0" fontId="0" fillId="5" borderId="9" xfId="0" applyFill="1" applyBorder="1" applyAlignment="1">
      <alignment wrapText="1"/>
    </xf>
    <xf numFmtId="0" fontId="0" fillId="5" borderId="3" xfId="0" applyFill="1" applyBorder="1" applyAlignment="1">
      <alignment wrapText="1"/>
    </xf>
    <xf numFmtId="0" fontId="0" fillId="5" borderId="4" xfId="0" applyFill="1" applyBorder="1" applyAlignment="1">
      <alignment wrapText="1"/>
    </xf>
    <xf numFmtId="0" fontId="0" fillId="5" borderId="0" xfId="0" applyFill="1" applyAlignment="1">
      <alignment wrapText="1"/>
    </xf>
    <xf numFmtId="0" fontId="0" fillId="5" borderId="10" xfId="0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2" fillId="5" borderId="0" xfId="0" applyFont="1" applyFill="1" applyAlignment="1">
      <alignment wrapText="1"/>
    </xf>
    <xf numFmtId="0" fontId="0" fillId="6" borderId="1" xfId="0" applyFill="1" applyBorder="1" applyAlignment="1">
      <alignment wrapText="1"/>
    </xf>
    <xf numFmtId="0" fontId="0" fillId="6" borderId="2" xfId="0" applyFill="1" applyBorder="1" applyAlignment="1">
      <alignment wrapText="1"/>
    </xf>
    <xf numFmtId="0" fontId="0" fillId="6" borderId="9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4" xfId="0" applyFill="1" applyBorder="1" applyAlignment="1">
      <alignment wrapText="1"/>
    </xf>
    <xf numFmtId="0" fontId="0" fillId="6" borderId="0" xfId="0" applyFill="1" applyAlignment="1">
      <alignment wrapText="1"/>
    </xf>
    <xf numFmtId="0" fontId="0" fillId="6" borderId="10" xfId="0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0" fillId="6" borderId="6" xfId="0" applyFill="1" applyBorder="1" applyAlignment="1">
      <alignment wrapText="1"/>
    </xf>
    <xf numFmtId="0" fontId="0" fillId="6" borderId="7" xfId="0" applyFill="1" applyBorder="1" applyAlignment="1">
      <alignment wrapText="1"/>
    </xf>
    <xf numFmtId="0" fontId="0" fillId="6" borderId="11" xfId="0" applyFill="1" applyBorder="1" applyAlignment="1">
      <alignment wrapText="1"/>
    </xf>
    <xf numFmtId="0" fontId="0" fillId="6" borderId="8" xfId="0" applyFill="1" applyBorder="1" applyAlignment="1">
      <alignment wrapText="1"/>
    </xf>
    <xf numFmtId="0" fontId="3" fillId="9" borderId="4" xfId="0" applyFont="1" applyFill="1" applyBorder="1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Christa Kölbener" id="{712A9CCB-E76F-0F40-B872-225C68D57C62}" userId="S::koelbchr@students.zhaw.ch::60819a71-dbee-4cbc-8796-739fdf312970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" dT="2022-02-03T12:45:54.87" personId="{712A9CCB-E76F-0F40-B872-225C68D57C62}" id="{F081D927-E72A-8447-B693-96A4EE801A55}">
    <text>In the report from last year the unit ist „h^ -1“. I don’t know if that’s correct.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43"/>
  <sheetViews>
    <sheetView tabSelected="1" zoomScale="83" zoomScaleNormal="55" workbookViewId="0">
      <selection sqref="A1:J43"/>
    </sheetView>
  </sheetViews>
  <sheetFormatPr baseColWidth="10" defaultColWidth="11.5" defaultRowHeight="15" x14ac:dyDescent="0.2"/>
  <cols>
    <col min="1" max="1" width="17.1640625" style="13" bestFit="1" customWidth="1"/>
    <col min="2" max="2" width="33.6640625" style="13" bestFit="1" customWidth="1"/>
    <col min="3" max="3" width="5.1640625" style="13" customWidth="1"/>
    <col min="4" max="4" width="12" style="13" bestFit="1" customWidth="1"/>
    <col min="5" max="5" width="11.1640625" style="13" bestFit="1" customWidth="1"/>
    <col min="6" max="6" width="9" style="13" bestFit="1" customWidth="1"/>
    <col min="7" max="7" width="14.1640625" style="13" bestFit="1" customWidth="1"/>
    <col min="8" max="8" width="16" style="13" bestFit="1" customWidth="1"/>
    <col min="9" max="9" width="14.33203125" style="13" customWidth="1"/>
    <col min="10" max="10" width="9.33203125" style="13" customWidth="1"/>
    <col min="11" max="11" width="18.6640625" style="13" customWidth="1"/>
    <col min="12" max="12" width="11.5" style="13"/>
    <col min="13" max="13" width="44.5" style="13" bestFit="1" customWidth="1"/>
    <col min="14" max="16384" width="11.5" style="13"/>
  </cols>
  <sheetData>
    <row r="1" spans="1:13" s="7" customFormat="1" ht="49" thickBot="1" x14ac:dyDescent="0.25">
      <c r="A1" s="7" t="s">
        <v>0</v>
      </c>
      <c r="B1" s="7" t="s">
        <v>1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9" t="s">
        <v>9</v>
      </c>
      <c r="J1" s="9" t="s">
        <v>10</v>
      </c>
      <c r="M1" s="8" t="s">
        <v>2</v>
      </c>
    </row>
    <row r="2" spans="1:13" ht="32" x14ac:dyDescent="0.2">
      <c r="A2" s="3" t="s">
        <v>11</v>
      </c>
      <c r="B2" s="10" t="s">
        <v>12</v>
      </c>
      <c r="C2" s="3" t="s">
        <v>80</v>
      </c>
      <c r="D2" s="3" t="s">
        <v>14</v>
      </c>
      <c r="E2" s="3" t="s">
        <v>15</v>
      </c>
      <c r="F2" s="3"/>
      <c r="G2" s="3">
        <v>5</v>
      </c>
      <c r="H2" s="11"/>
      <c r="I2" s="12"/>
      <c r="J2" s="12"/>
      <c r="M2" s="2" t="s">
        <v>13</v>
      </c>
    </row>
    <row r="3" spans="1:13" ht="16" x14ac:dyDescent="0.2">
      <c r="A3" s="6" t="s">
        <v>16</v>
      </c>
      <c r="B3" s="4" t="s">
        <v>17</v>
      </c>
      <c r="C3" s="4" t="s">
        <v>80</v>
      </c>
      <c r="D3" s="6"/>
      <c r="E3" s="6" t="s">
        <v>15</v>
      </c>
      <c r="F3" s="6"/>
      <c r="G3" s="6">
        <v>5</v>
      </c>
      <c r="H3" s="14"/>
      <c r="I3" s="15"/>
      <c r="J3" s="15"/>
      <c r="M3" s="4" t="s">
        <v>18</v>
      </c>
    </row>
    <row r="4" spans="1:13" ht="16" x14ac:dyDescent="0.2">
      <c r="A4" s="6" t="s">
        <v>16</v>
      </c>
      <c r="B4" s="4" t="s">
        <v>19</v>
      </c>
      <c r="C4" s="4" t="s">
        <v>80</v>
      </c>
      <c r="D4" s="6" t="s">
        <v>14</v>
      </c>
      <c r="E4" s="6" t="s">
        <v>21</v>
      </c>
      <c r="F4" s="6"/>
      <c r="G4" s="6">
        <v>3</v>
      </c>
      <c r="H4" s="14"/>
      <c r="I4" s="15"/>
      <c r="J4" s="15"/>
      <c r="M4" s="4" t="s">
        <v>20</v>
      </c>
    </row>
    <row r="5" spans="1:13" ht="32" x14ac:dyDescent="0.2">
      <c r="A5" s="6" t="s">
        <v>16</v>
      </c>
      <c r="B5" s="4" t="s">
        <v>22</v>
      </c>
      <c r="C5" s="4" t="s">
        <v>80</v>
      </c>
      <c r="D5" s="6"/>
      <c r="E5" s="6" t="s">
        <v>21</v>
      </c>
      <c r="F5" s="6"/>
      <c r="G5" s="6">
        <v>3</v>
      </c>
      <c r="H5" s="14"/>
      <c r="I5" s="15"/>
      <c r="J5" s="15"/>
      <c r="M5" s="4" t="s">
        <v>23</v>
      </c>
    </row>
    <row r="6" spans="1:13" ht="48" x14ac:dyDescent="0.2">
      <c r="A6" s="6" t="s">
        <v>16</v>
      </c>
      <c r="B6" s="4" t="s">
        <v>24</v>
      </c>
      <c r="C6" s="4" t="s">
        <v>80</v>
      </c>
      <c r="D6" s="6" t="s">
        <v>14</v>
      </c>
      <c r="E6" s="6" t="s">
        <v>21</v>
      </c>
      <c r="F6" s="6"/>
      <c r="G6" s="6">
        <v>3</v>
      </c>
      <c r="H6" s="14"/>
      <c r="I6" s="15"/>
      <c r="J6" s="15"/>
      <c r="M6" s="5" t="s">
        <v>25</v>
      </c>
    </row>
    <row r="7" spans="1:13" ht="16" x14ac:dyDescent="0.2">
      <c r="A7" s="6" t="s">
        <v>16</v>
      </c>
      <c r="B7" s="4" t="s">
        <v>26</v>
      </c>
      <c r="C7" s="4" t="s">
        <v>80</v>
      </c>
      <c r="D7" s="6"/>
      <c r="E7" s="6" t="s">
        <v>28</v>
      </c>
      <c r="F7" s="6">
        <v>10</v>
      </c>
      <c r="G7" s="6">
        <v>4</v>
      </c>
      <c r="H7" s="14">
        <v>40</v>
      </c>
      <c r="I7" s="16" t="s">
        <v>28</v>
      </c>
      <c r="J7" s="16" t="s">
        <v>28</v>
      </c>
      <c r="M7" s="5" t="s">
        <v>27</v>
      </c>
    </row>
    <row r="8" spans="1:13" ht="32" x14ac:dyDescent="0.2">
      <c r="A8" s="6" t="s">
        <v>16</v>
      </c>
      <c r="B8" s="4" t="s">
        <v>29</v>
      </c>
      <c r="C8" s="4" t="s">
        <v>80</v>
      </c>
      <c r="D8" s="6" t="s">
        <v>14</v>
      </c>
      <c r="E8" s="6" t="s">
        <v>28</v>
      </c>
      <c r="F8" s="6">
        <v>30</v>
      </c>
      <c r="G8" s="6">
        <v>4</v>
      </c>
      <c r="H8" s="14">
        <v>120</v>
      </c>
      <c r="I8" s="16" t="s">
        <v>28</v>
      </c>
      <c r="J8" s="16" t="s">
        <v>28</v>
      </c>
      <c r="M8" s="4" t="s">
        <v>30</v>
      </c>
    </row>
    <row r="9" spans="1:13" ht="17" thickBot="1" x14ac:dyDescent="0.25">
      <c r="A9" s="6" t="s">
        <v>16</v>
      </c>
      <c r="B9" s="4" t="s">
        <v>31</v>
      </c>
      <c r="C9" s="4" t="s">
        <v>80</v>
      </c>
      <c r="D9" s="6" t="s">
        <v>14</v>
      </c>
      <c r="E9" s="6" t="s">
        <v>21</v>
      </c>
      <c r="F9" s="6"/>
      <c r="G9" s="6">
        <v>3</v>
      </c>
      <c r="H9" s="14"/>
      <c r="I9" s="15"/>
      <c r="J9" s="15"/>
      <c r="M9" s="4"/>
    </row>
    <row r="10" spans="1:13" ht="16" x14ac:dyDescent="0.2">
      <c r="A10" s="17" t="s">
        <v>32</v>
      </c>
      <c r="B10" s="18" t="s">
        <v>33</v>
      </c>
      <c r="C10" s="17"/>
      <c r="D10" s="17" t="s">
        <v>35</v>
      </c>
      <c r="E10" s="17" t="s">
        <v>36</v>
      </c>
      <c r="F10" s="17">
        <v>37</v>
      </c>
      <c r="G10" s="17">
        <v>3</v>
      </c>
      <c r="H10" s="19">
        <v>109.5</v>
      </c>
      <c r="I10" s="20"/>
      <c r="J10" s="20"/>
      <c r="M10" s="18" t="s">
        <v>34</v>
      </c>
    </row>
    <row r="11" spans="1:13" ht="16" x14ac:dyDescent="0.2">
      <c r="A11" s="21" t="s">
        <v>32</v>
      </c>
      <c r="B11" s="22" t="s">
        <v>37</v>
      </c>
      <c r="C11" s="21"/>
      <c r="D11" s="21" t="s">
        <v>35</v>
      </c>
      <c r="E11" s="21" t="s">
        <v>36</v>
      </c>
      <c r="F11" s="21">
        <v>32</v>
      </c>
      <c r="G11" s="21">
        <v>3</v>
      </c>
      <c r="H11" s="23">
        <v>95.9</v>
      </c>
      <c r="I11" s="24"/>
      <c r="J11" s="24"/>
      <c r="M11" s="22"/>
    </row>
    <row r="12" spans="1:13" ht="16" x14ac:dyDescent="0.2">
      <c r="A12" s="21" t="s">
        <v>32</v>
      </c>
      <c r="B12" s="22" t="s">
        <v>38</v>
      </c>
      <c r="C12" s="21"/>
      <c r="D12" s="21" t="s">
        <v>35</v>
      </c>
      <c r="E12" s="21" t="s">
        <v>36</v>
      </c>
      <c r="F12" s="21">
        <v>192</v>
      </c>
      <c r="G12" s="21">
        <v>3</v>
      </c>
      <c r="H12" s="23">
        <v>575.4</v>
      </c>
      <c r="I12" s="24"/>
      <c r="J12" s="24"/>
      <c r="M12" s="22" t="s">
        <v>39</v>
      </c>
    </row>
    <row r="13" spans="1:13" ht="17" thickBot="1" x14ac:dyDescent="0.25">
      <c r="A13" s="21" t="s">
        <v>32</v>
      </c>
      <c r="B13" s="22" t="s">
        <v>40</v>
      </c>
      <c r="C13" s="21"/>
      <c r="D13" s="21" t="s">
        <v>35</v>
      </c>
      <c r="E13" s="21" t="s">
        <v>36</v>
      </c>
      <c r="F13" s="21">
        <v>124</v>
      </c>
      <c r="G13" s="21">
        <v>3</v>
      </c>
      <c r="H13" s="23">
        <v>372.7</v>
      </c>
      <c r="I13" s="24"/>
      <c r="J13" s="24"/>
      <c r="M13" s="22"/>
    </row>
    <row r="14" spans="1:13" ht="16" x14ac:dyDescent="0.2">
      <c r="A14" s="25" t="s">
        <v>41</v>
      </c>
      <c r="B14" s="26" t="s">
        <v>42</v>
      </c>
      <c r="C14" s="25">
        <v>1</v>
      </c>
      <c r="D14" s="25" t="s">
        <v>43</v>
      </c>
      <c r="E14" s="25" t="s">
        <v>36</v>
      </c>
      <c r="F14" s="25">
        <v>5.76</v>
      </c>
      <c r="G14" s="25">
        <v>3</v>
      </c>
      <c r="H14" s="27">
        <v>17.3</v>
      </c>
      <c r="I14" s="28"/>
      <c r="J14" s="28"/>
      <c r="M14" s="26"/>
    </row>
    <row r="15" spans="1:13" ht="32" x14ac:dyDescent="0.2">
      <c r="A15" s="29" t="s">
        <v>41</v>
      </c>
      <c r="B15" s="30" t="s">
        <v>44</v>
      </c>
      <c r="C15" s="29">
        <v>1</v>
      </c>
      <c r="D15" s="29" t="s">
        <v>43</v>
      </c>
      <c r="E15" s="29" t="s">
        <v>36</v>
      </c>
      <c r="F15" s="29">
        <v>19.739999999999998</v>
      </c>
      <c r="G15" s="29">
        <v>3</v>
      </c>
      <c r="H15" s="31">
        <v>119.2</v>
      </c>
      <c r="I15" s="32"/>
      <c r="J15" s="32"/>
      <c r="M15" s="1" t="s">
        <v>45</v>
      </c>
    </row>
    <row r="16" spans="1:13" ht="32" x14ac:dyDescent="0.2">
      <c r="A16" s="29" t="s">
        <v>41</v>
      </c>
      <c r="B16" s="30" t="s">
        <v>46</v>
      </c>
      <c r="C16" s="29">
        <v>1</v>
      </c>
      <c r="D16" s="29" t="s">
        <v>35</v>
      </c>
      <c r="E16" s="29" t="s">
        <v>36</v>
      </c>
      <c r="F16" s="29">
        <v>144.72</v>
      </c>
      <c r="G16" s="29">
        <v>3</v>
      </c>
      <c r="H16" s="31">
        <v>434.2</v>
      </c>
      <c r="I16" s="32"/>
      <c r="J16" s="32"/>
      <c r="M16" s="1" t="s">
        <v>47</v>
      </c>
    </row>
    <row r="17" spans="1:13" ht="16" x14ac:dyDescent="0.2">
      <c r="A17" s="29" t="s">
        <v>41</v>
      </c>
      <c r="B17" s="1" t="s">
        <v>48</v>
      </c>
      <c r="C17" s="29">
        <v>1</v>
      </c>
      <c r="D17" s="29" t="s">
        <v>43</v>
      </c>
      <c r="E17" s="29" t="s">
        <v>36</v>
      </c>
      <c r="F17" s="29">
        <v>32.700000000000003</v>
      </c>
      <c r="G17" s="29">
        <v>4</v>
      </c>
      <c r="H17" s="31">
        <v>98.1</v>
      </c>
      <c r="I17" s="32"/>
      <c r="J17" s="32"/>
      <c r="M17" s="1"/>
    </row>
    <row r="18" spans="1:13" ht="16" x14ac:dyDescent="0.2">
      <c r="A18" s="29" t="s">
        <v>41</v>
      </c>
      <c r="B18" s="1" t="s">
        <v>49</v>
      </c>
      <c r="C18" s="29" t="s">
        <v>14</v>
      </c>
      <c r="D18" s="29" t="s">
        <v>43</v>
      </c>
      <c r="E18" s="29" t="s">
        <v>36</v>
      </c>
      <c r="F18" s="29">
        <v>14.21</v>
      </c>
      <c r="G18" s="29">
        <v>3</v>
      </c>
      <c r="H18" s="31">
        <v>42.6</v>
      </c>
      <c r="I18" s="32"/>
      <c r="J18" s="32"/>
      <c r="M18" s="1"/>
    </row>
    <row r="19" spans="1:13" ht="16" x14ac:dyDescent="0.2">
      <c r="A19" s="29" t="s">
        <v>41</v>
      </c>
      <c r="B19" s="1" t="s">
        <v>50</v>
      </c>
      <c r="C19" s="29" t="s">
        <v>14</v>
      </c>
      <c r="D19" s="29" t="s">
        <v>35</v>
      </c>
      <c r="E19" s="29" t="s">
        <v>36</v>
      </c>
      <c r="F19" s="29">
        <v>30.42</v>
      </c>
      <c r="G19" s="29">
        <v>3</v>
      </c>
      <c r="H19" s="31">
        <v>91.3</v>
      </c>
      <c r="I19" s="32"/>
      <c r="J19" s="32"/>
      <c r="M19" s="1" t="s">
        <v>51</v>
      </c>
    </row>
    <row r="20" spans="1:13" ht="17" thickBot="1" x14ac:dyDescent="0.25">
      <c r="A20" s="29" t="s">
        <v>41</v>
      </c>
      <c r="B20" s="1" t="s">
        <v>52</v>
      </c>
      <c r="C20" s="29" t="s">
        <v>14</v>
      </c>
      <c r="D20" s="29" t="s">
        <v>35</v>
      </c>
      <c r="E20" s="29" t="s">
        <v>36</v>
      </c>
      <c r="F20" s="29">
        <v>77.64</v>
      </c>
      <c r="G20" s="29">
        <v>3</v>
      </c>
      <c r="H20" s="31">
        <v>230.4</v>
      </c>
      <c r="I20" s="32"/>
      <c r="J20" s="32"/>
      <c r="M20" s="1"/>
    </row>
    <row r="21" spans="1:13" ht="16" x14ac:dyDescent="0.2">
      <c r="A21" s="33" t="s">
        <v>53</v>
      </c>
      <c r="B21" s="34" t="s">
        <v>54</v>
      </c>
      <c r="C21" s="33" t="s">
        <v>14</v>
      </c>
      <c r="D21" s="33" t="s">
        <v>43</v>
      </c>
      <c r="E21" s="33" t="s">
        <v>36</v>
      </c>
      <c r="F21" s="33">
        <v>33</v>
      </c>
      <c r="G21" s="33">
        <v>3</v>
      </c>
      <c r="H21" s="35">
        <v>98.1</v>
      </c>
      <c r="I21" s="36"/>
      <c r="J21" s="36"/>
      <c r="M21" s="34"/>
    </row>
    <row r="22" spans="1:13" ht="16" x14ac:dyDescent="0.2">
      <c r="A22" s="37" t="s">
        <v>53</v>
      </c>
      <c r="B22" s="38" t="s">
        <v>55</v>
      </c>
      <c r="C22" s="37" t="s">
        <v>14</v>
      </c>
      <c r="D22" s="37" t="s">
        <v>43</v>
      </c>
      <c r="E22" s="37" t="s">
        <v>36</v>
      </c>
      <c r="F22" s="37"/>
      <c r="G22" s="37"/>
      <c r="H22" s="39"/>
      <c r="I22" s="40"/>
      <c r="J22" s="40"/>
      <c r="M22" s="38"/>
    </row>
    <row r="23" spans="1:13" ht="16" x14ac:dyDescent="0.2">
      <c r="A23" s="37" t="s">
        <v>53</v>
      </c>
      <c r="B23" s="38" t="s">
        <v>56</v>
      </c>
      <c r="C23" s="37" t="s">
        <v>14</v>
      </c>
      <c r="D23" s="37" t="s">
        <v>43</v>
      </c>
      <c r="E23" s="37" t="s">
        <v>36</v>
      </c>
      <c r="F23" s="37"/>
      <c r="G23" s="37"/>
      <c r="H23" s="39"/>
      <c r="I23" s="40"/>
      <c r="J23" s="40"/>
      <c r="M23" s="38"/>
    </row>
    <row r="24" spans="1:13" ht="16" x14ac:dyDescent="0.2">
      <c r="A24" s="37" t="s">
        <v>53</v>
      </c>
      <c r="B24" s="38" t="s">
        <v>57</v>
      </c>
      <c r="C24" s="37" t="s">
        <v>14</v>
      </c>
      <c r="D24" s="37" t="s">
        <v>35</v>
      </c>
      <c r="E24" s="37" t="s">
        <v>36</v>
      </c>
      <c r="F24" s="37"/>
      <c r="G24" s="37"/>
      <c r="H24" s="39"/>
      <c r="I24" s="40"/>
      <c r="J24" s="40"/>
      <c r="M24" s="38"/>
    </row>
    <row r="25" spans="1:13" ht="16" x14ac:dyDescent="0.2">
      <c r="A25" s="37" t="s">
        <v>53</v>
      </c>
      <c r="B25" s="38" t="s">
        <v>58</v>
      </c>
      <c r="C25" s="37" t="s">
        <v>14</v>
      </c>
      <c r="D25" s="37" t="s">
        <v>43</v>
      </c>
      <c r="E25" s="37" t="s">
        <v>36</v>
      </c>
      <c r="F25" s="37"/>
      <c r="G25" s="37"/>
      <c r="H25" s="39"/>
      <c r="I25" s="40"/>
      <c r="J25" s="40"/>
      <c r="M25" s="38"/>
    </row>
    <row r="26" spans="1:13" ht="16" x14ac:dyDescent="0.2">
      <c r="A26" s="37" t="s">
        <v>53</v>
      </c>
      <c r="B26" s="38" t="s">
        <v>59</v>
      </c>
      <c r="C26" s="37" t="s">
        <v>14</v>
      </c>
      <c r="D26" s="37" t="s">
        <v>43</v>
      </c>
      <c r="E26" s="37" t="s">
        <v>36</v>
      </c>
      <c r="F26" s="37"/>
      <c r="G26" s="37"/>
      <c r="H26" s="39"/>
      <c r="I26" s="40"/>
      <c r="J26" s="40"/>
      <c r="M26" s="38"/>
    </row>
    <row r="27" spans="1:13" ht="16" x14ac:dyDescent="0.2">
      <c r="A27" s="37" t="s">
        <v>53</v>
      </c>
      <c r="B27" s="38" t="s">
        <v>60</v>
      </c>
      <c r="C27" s="37" t="s">
        <v>14</v>
      </c>
      <c r="D27" s="37" t="s">
        <v>43</v>
      </c>
      <c r="E27" s="37" t="s">
        <v>36</v>
      </c>
      <c r="F27" s="37"/>
      <c r="G27" s="37"/>
      <c r="H27" s="39"/>
      <c r="I27" s="40"/>
      <c r="J27" s="40"/>
      <c r="M27" s="38"/>
    </row>
    <row r="28" spans="1:13" ht="16" x14ac:dyDescent="0.2">
      <c r="A28" s="37" t="s">
        <v>53</v>
      </c>
      <c r="B28" s="38" t="s">
        <v>61</v>
      </c>
      <c r="C28" s="37" t="s">
        <v>14</v>
      </c>
      <c r="D28" s="37" t="s">
        <v>43</v>
      </c>
      <c r="E28" s="37" t="s">
        <v>36</v>
      </c>
      <c r="F28" s="37"/>
      <c r="G28" s="37"/>
      <c r="H28" s="39"/>
      <c r="I28" s="40"/>
      <c r="J28" s="40"/>
      <c r="M28" s="38"/>
    </row>
    <row r="29" spans="1:13" ht="16" x14ac:dyDescent="0.2">
      <c r="A29" s="37" t="s">
        <v>53</v>
      </c>
      <c r="B29" s="38" t="s">
        <v>61</v>
      </c>
      <c r="C29" s="37" t="s">
        <v>14</v>
      </c>
      <c r="D29" s="37" t="s">
        <v>35</v>
      </c>
      <c r="E29" s="37" t="s">
        <v>36</v>
      </c>
      <c r="F29" s="37"/>
      <c r="G29" s="37"/>
      <c r="H29" s="39"/>
      <c r="I29" s="40"/>
      <c r="J29" s="40"/>
      <c r="M29" s="38"/>
    </row>
    <row r="30" spans="1:13" ht="16" x14ac:dyDescent="0.2">
      <c r="A30" s="37" t="s">
        <v>53</v>
      </c>
      <c r="B30" s="38" t="s">
        <v>62</v>
      </c>
      <c r="C30" s="37" t="s">
        <v>14</v>
      </c>
      <c r="D30" s="37" t="s">
        <v>43</v>
      </c>
      <c r="E30" s="37" t="s">
        <v>36</v>
      </c>
      <c r="F30" s="37">
        <f>92+131</f>
        <v>223</v>
      </c>
      <c r="G30" s="37">
        <v>3</v>
      </c>
      <c r="H30" s="39">
        <f xml:space="preserve"> 392.2 +277</f>
        <v>669.2</v>
      </c>
      <c r="I30" s="40"/>
      <c r="J30" s="40"/>
      <c r="M30" s="38" t="s">
        <v>63</v>
      </c>
    </row>
    <row r="31" spans="1:13" ht="16" x14ac:dyDescent="0.2">
      <c r="A31" s="37" t="s">
        <v>53</v>
      </c>
      <c r="B31" s="38" t="s">
        <v>64</v>
      </c>
      <c r="C31" s="37" t="s">
        <v>14</v>
      </c>
      <c r="D31" s="37" t="s">
        <v>43</v>
      </c>
      <c r="E31" s="37" t="s">
        <v>36</v>
      </c>
      <c r="F31" s="37">
        <v>65</v>
      </c>
      <c r="G31" s="37">
        <v>3</v>
      </c>
      <c r="H31" s="39">
        <v>193.9</v>
      </c>
      <c r="I31" s="40"/>
      <c r="J31" s="40"/>
      <c r="M31" s="41" t="s">
        <v>65</v>
      </c>
    </row>
    <row r="32" spans="1:13" ht="16" x14ac:dyDescent="0.2">
      <c r="A32" s="37" t="s">
        <v>53</v>
      </c>
      <c r="B32" s="38" t="s">
        <v>66</v>
      </c>
      <c r="C32" s="37" t="s">
        <v>14</v>
      </c>
      <c r="D32" s="37" t="s">
        <v>67</v>
      </c>
      <c r="E32" s="37" t="s">
        <v>36</v>
      </c>
      <c r="F32" s="37">
        <v>29</v>
      </c>
      <c r="G32" s="37">
        <v>3</v>
      </c>
      <c r="H32" s="39">
        <v>87.3</v>
      </c>
      <c r="I32" s="40"/>
      <c r="J32" s="40"/>
      <c r="M32" s="41"/>
    </row>
    <row r="33" spans="1:13" ht="17" thickBot="1" x14ac:dyDescent="0.25">
      <c r="A33" s="37" t="s">
        <v>53</v>
      </c>
      <c r="B33" s="38" t="s">
        <v>68</v>
      </c>
      <c r="C33" s="37" t="s">
        <v>14</v>
      </c>
      <c r="D33" s="37" t="s">
        <v>67</v>
      </c>
      <c r="E33" s="37" t="s">
        <v>36</v>
      </c>
      <c r="F33" s="37">
        <v>23</v>
      </c>
      <c r="G33" s="37">
        <v>3</v>
      </c>
      <c r="H33" s="39">
        <v>68.400000000000006</v>
      </c>
      <c r="I33" s="40"/>
      <c r="J33" s="40"/>
      <c r="M33" s="38"/>
    </row>
    <row r="34" spans="1:13" ht="16" x14ac:dyDescent="0.2">
      <c r="A34" s="42" t="s">
        <v>69</v>
      </c>
      <c r="B34" s="43" t="s">
        <v>69</v>
      </c>
      <c r="C34" s="42"/>
      <c r="D34" s="42" t="s">
        <v>14</v>
      </c>
      <c r="E34" s="42"/>
      <c r="F34" s="42"/>
      <c r="G34" s="42">
        <v>7</v>
      </c>
      <c r="H34" s="44"/>
      <c r="I34" s="45"/>
      <c r="J34" s="45"/>
      <c r="M34" s="43"/>
    </row>
    <row r="35" spans="1:13" ht="16" x14ac:dyDescent="0.2">
      <c r="A35" s="46" t="s">
        <v>70</v>
      </c>
      <c r="B35" s="47" t="s">
        <v>70</v>
      </c>
      <c r="C35" s="46" t="s">
        <v>14</v>
      </c>
      <c r="D35" s="46" t="s">
        <v>14</v>
      </c>
      <c r="E35" s="46"/>
      <c r="F35" s="46"/>
      <c r="G35" s="46"/>
      <c r="H35" s="48"/>
      <c r="I35" s="49"/>
      <c r="J35" s="49"/>
      <c r="M35" s="47"/>
    </row>
    <row r="36" spans="1:13" ht="16" x14ac:dyDescent="0.2">
      <c r="A36" s="46" t="s">
        <v>71</v>
      </c>
      <c r="B36" s="47" t="s">
        <v>72</v>
      </c>
      <c r="C36" s="46" t="s">
        <v>80</v>
      </c>
      <c r="D36" s="46" t="s">
        <v>14</v>
      </c>
      <c r="E36" s="46"/>
      <c r="F36" s="46"/>
      <c r="G36" s="46"/>
      <c r="H36" s="48"/>
      <c r="I36" s="49"/>
      <c r="J36" s="49"/>
      <c r="M36" s="47"/>
    </row>
    <row r="37" spans="1:13" ht="16" x14ac:dyDescent="0.2">
      <c r="A37" s="46" t="s">
        <v>71</v>
      </c>
      <c r="B37" s="47" t="s">
        <v>73</v>
      </c>
      <c r="C37" s="46" t="s">
        <v>80</v>
      </c>
      <c r="D37" s="46" t="s">
        <v>14</v>
      </c>
      <c r="E37" s="46"/>
      <c r="F37" s="46"/>
      <c r="G37" s="46"/>
      <c r="H37" s="48"/>
      <c r="I37" s="49"/>
      <c r="J37" s="49"/>
      <c r="M37" s="47"/>
    </row>
    <row r="38" spans="1:13" ht="16" x14ac:dyDescent="0.2">
      <c r="A38" s="46" t="s">
        <v>71</v>
      </c>
      <c r="B38" s="47" t="s">
        <v>74</v>
      </c>
      <c r="C38" s="46" t="s">
        <v>80</v>
      </c>
      <c r="D38" s="46" t="s">
        <v>14</v>
      </c>
      <c r="E38" s="46"/>
      <c r="F38" s="46"/>
      <c r="G38" s="46"/>
      <c r="H38" s="48"/>
      <c r="I38" s="49"/>
      <c r="J38" s="49"/>
      <c r="M38" s="47"/>
    </row>
    <row r="39" spans="1:13" ht="16" x14ac:dyDescent="0.2">
      <c r="A39" s="46" t="s">
        <v>71</v>
      </c>
      <c r="B39" s="47" t="s">
        <v>75</v>
      </c>
      <c r="C39" s="54" t="s">
        <v>80</v>
      </c>
      <c r="D39" s="46" t="s">
        <v>14</v>
      </c>
      <c r="E39" s="46"/>
      <c r="F39" s="46"/>
      <c r="G39" s="46"/>
      <c r="H39" s="48"/>
      <c r="I39" s="49"/>
      <c r="J39" s="49"/>
      <c r="M39" s="47"/>
    </row>
    <row r="40" spans="1:13" ht="16" x14ac:dyDescent="0.2">
      <c r="A40" s="46" t="s">
        <v>71</v>
      </c>
      <c r="B40" s="47" t="s">
        <v>76</v>
      </c>
      <c r="C40" s="54" t="s">
        <v>80</v>
      </c>
      <c r="D40" s="46" t="s">
        <v>14</v>
      </c>
      <c r="E40" s="46"/>
      <c r="F40" s="46"/>
      <c r="G40" s="46"/>
      <c r="H40" s="48"/>
      <c r="I40" s="49"/>
      <c r="J40" s="49"/>
      <c r="M40" s="47"/>
    </row>
    <row r="41" spans="1:13" ht="16" x14ac:dyDescent="0.2">
      <c r="A41" s="46" t="s">
        <v>71</v>
      </c>
      <c r="B41" s="47" t="s">
        <v>77</v>
      </c>
      <c r="C41" s="54" t="s">
        <v>80</v>
      </c>
      <c r="D41" s="46" t="s">
        <v>14</v>
      </c>
      <c r="E41" s="46"/>
      <c r="F41" s="46"/>
      <c r="G41" s="46"/>
      <c r="H41" s="48"/>
      <c r="I41" s="49"/>
      <c r="J41" s="49"/>
      <c r="M41" s="47"/>
    </row>
    <row r="42" spans="1:13" ht="16" x14ac:dyDescent="0.2">
      <c r="A42" s="46" t="s">
        <v>71</v>
      </c>
      <c r="B42" s="47" t="s">
        <v>78</v>
      </c>
      <c r="C42" s="54" t="s">
        <v>80</v>
      </c>
      <c r="D42" s="46" t="s">
        <v>14</v>
      </c>
      <c r="E42" s="46"/>
      <c r="F42" s="46"/>
      <c r="G42" s="46"/>
      <c r="H42" s="48"/>
      <c r="I42" s="49"/>
      <c r="J42" s="49"/>
      <c r="M42" s="47"/>
    </row>
    <row r="43" spans="1:13" ht="17" thickBot="1" x14ac:dyDescent="0.25">
      <c r="A43" s="50" t="s">
        <v>71</v>
      </c>
      <c r="B43" s="51" t="s">
        <v>79</v>
      </c>
      <c r="C43" s="54" t="s">
        <v>80</v>
      </c>
      <c r="D43" s="50" t="s">
        <v>14</v>
      </c>
      <c r="E43" s="50" t="s">
        <v>21</v>
      </c>
      <c r="F43" s="50"/>
      <c r="G43" s="50"/>
      <c r="H43" s="52"/>
      <c r="I43" s="53"/>
      <c r="J43" s="53"/>
      <c r="M43" s="51"/>
    </row>
  </sheetData>
  <pageMargins left="0.7" right="0.7" top="0.78740157499999996" bottom="0.78740157499999996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F34FC02811A8F499CA32FC612EE48A0" ma:contentTypeVersion="9" ma:contentTypeDescription="Ein neues Dokument erstellen." ma:contentTypeScope="" ma:versionID="799fd8fbf740541e3223ece83ffb647c">
  <xsd:schema xmlns:xsd="http://www.w3.org/2001/XMLSchema" xmlns:xs="http://www.w3.org/2001/XMLSchema" xmlns:p="http://schemas.microsoft.com/office/2006/metadata/properties" xmlns:ns2="4cde1fc4-2b3d-4add-8ea9-0168bc64bbe7" xmlns:ns3="8101c224-8760-4bfa-b56b-356fc4b4ad60" targetNamespace="http://schemas.microsoft.com/office/2006/metadata/properties" ma:root="true" ma:fieldsID="0a39c6f75a88d1210949dee0ff67d8c7" ns2:_="" ns3:_="">
    <xsd:import namespace="4cde1fc4-2b3d-4add-8ea9-0168bc64bbe7"/>
    <xsd:import namespace="8101c224-8760-4bfa-b56b-356fc4b4ad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de1fc4-2b3d-4add-8ea9-0168bc64bb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01c224-8760-4bfa-b56b-356fc4b4ad60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0782732-3FEA-494B-B107-DA872D50C1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CE2482-533D-4568-A509-217B9AA20E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de1fc4-2b3d-4add-8ea9-0168bc64bbe7"/>
    <ds:schemaRef ds:uri="8101c224-8760-4bfa-b56b-356fc4b4ad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A73B4B-FC66-46C1-AD98-AC736235E10D}">
  <ds:schemaRefs>
    <ds:schemaRef ds:uri="4cde1fc4-2b3d-4add-8ea9-0168bc64bbe7"/>
    <ds:schemaRef ds:uri="http://purl.org/dc/dcmitype/"/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8101c224-8760-4bfa-b56b-356fc4b4ad60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adrian_naef</dc:creator>
  <cp:keywords/>
  <dc:description/>
  <cp:lastModifiedBy>Christa Kölbener</cp:lastModifiedBy>
  <cp:revision/>
  <dcterms:created xsi:type="dcterms:W3CDTF">2022-01-25T13:10:06Z</dcterms:created>
  <dcterms:modified xsi:type="dcterms:W3CDTF">2022-02-17T10:55:17Z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0x0101002F34FC02811A8F499CA32FC612EE48A0</vt:lpwstr>
  </property>
</Properties>
</file>